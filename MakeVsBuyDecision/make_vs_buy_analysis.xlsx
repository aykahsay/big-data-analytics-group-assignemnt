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Shs #,##0"/>
    <numFmt numFmtId="166" formatCode="Shs #,##0;[Red](Shs #,##0);&quot;-&quot;"/>
  </numFmts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1E293B"/>
      <sz val="12"/>
    </font>
    <font>
      <name val="Segoe UI"/>
      <color rgb="001E293B"/>
      <sz val="11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16A34A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7">
    <border>
      <left/>
      <right/>
      <top/>
      <bottom/>
      <diagonal/>
    </border>
    <border>
      <left style="thin">
        <color rgb="00CBD5E1"/>
      </left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4" fillId="2" borderId="2" applyAlignment="1" pivotButton="0" quotePrefix="0" xfId="0">
      <alignment horizontal="right" vertical="center"/>
    </xf>
    <xf numFmtId="165" fontId="4" fillId="2" borderId="2" applyAlignment="1" pivotButton="0" quotePrefix="0" xfId="0">
      <alignment horizontal="right" vertical="center"/>
    </xf>
    <xf numFmtId="0" fontId="5" fillId="3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3" fillId="0" borderId="0" pivotButton="0" quotePrefix="0" xfId="0"/>
    <xf numFmtId="166" fontId="3" fillId="0" borderId="4" applyAlignment="1" pivotButton="0" quotePrefix="0" xfId="0">
      <alignment horizontal="right" vertical="center"/>
    </xf>
    <xf numFmtId="0" fontId="4" fillId="2" borderId="5" pivotButton="0" quotePrefix="0" xfId="0"/>
    <xf numFmtId="166" fontId="4" fillId="2" borderId="5" applyAlignment="1" pivotButton="0" quotePrefix="0" xfId="0">
      <alignment horizontal="right" vertical="center"/>
    </xf>
    <xf numFmtId="0" fontId="3" fillId="0" borderId="4" pivotButton="0" quotePrefix="0" xfId="0"/>
    <xf numFmtId="166" fontId="4" fillId="0" borderId="4" applyAlignment="1" pivotButton="0" quotePrefix="0" xfId="0">
      <alignment horizontal="right" vertical="center"/>
    </xf>
    <xf numFmtId="0" fontId="4" fillId="4" borderId="4" pivotButton="0" quotePrefix="0" xfId="0"/>
    <xf numFmtId="166" fontId="4" fillId="4" borderId="4" applyAlignment="1" pivotButton="0" quotePrefix="0" xfId="0">
      <alignment horizontal="right" vertical="center"/>
    </xf>
    <xf numFmtId="0" fontId="4" fillId="4" borderId="6" pivotButton="0" quotePrefix="0" xfId="0"/>
    <xf numFmtId="0" fontId="6" fillId="4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5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</cols>
  <sheetData>
    <row r="1"/>
    <row r="2">
      <c r="B2" s="1" t="inlineStr">
        <is>
          <t>MAKE VS. BUY FINANCIAL DECISION MODEL</t>
        </is>
      </c>
    </row>
    <row r="3"/>
    <row r="4">
      <c r="B4" s="2" t="inlineStr">
        <is>
          <t>Key Input Assumptions</t>
        </is>
      </c>
    </row>
    <row r="5">
      <c r="B5" s="3" t="inlineStr">
        <is>
          <t>Tax Rate</t>
        </is>
      </c>
      <c r="C5" s="4" t="n">
        <v>0.3</v>
      </c>
    </row>
    <row r="6">
      <c r="B6" s="3" t="inlineStr">
        <is>
          <t>Machine Purchase Cost</t>
        </is>
      </c>
      <c r="C6" s="5" t="n">
        <v>1000000</v>
      </c>
    </row>
    <row r="7">
      <c r="B7" s="3" t="inlineStr">
        <is>
          <t>Machine Salvage Value</t>
        </is>
      </c>
      <c r="C7" s="5" t="n">
        <v>200000</v>
      </c>
    </row>
    <row r="8">
      <c r="B8" s="3" t="inlineStr">
        <is>
          <t>Depreciation Rate (Reducing Balance)</t>
        </is>
      </c>
      <c r="C8" s="4" t="n">
        <v>0.125</v>
      </c>
    </row>
    <row r="9">
      <c r="B9" s="3" t="inlineStr">
        <is>
          <t>Discount Rate (Cost of Capital)</t>
        </is>
      </c>
      <c r="C9" s="4" t="n">
        <v>0.1</v>
      </c>
    </row>
    <row r="10"/>
    <row r="11">
      <c r="B11" s="2" t="inlineStr">
        <is>
          <t>Option A: Make the Component (Manufacturing)</t>
        </is>
      </c>
    </row>
    <row r="12">
      <c r="B12" s="6" t="inlineStr">
        <is>
          <t>Line Item</t>
        </is>
      </c>
      <c r="C12" s="7" t="inlineStr">
        <is>
          <t>Year 0</t>
        </is>
      </c>
      <c r="D12" s="7" t="inlineStr">
        <is>
          <t>Year 1</t>
        </is>
      </c>
      <c r="E12" s="7" t="inlineStr">
        <is>
          <t>Year 2</t>
        </is>
      </c>
      <c r="F12" s="7" t="inlineStr">
        <is>
          <t>Year 3</t>
        </is>
      </c>
      <c r="G12" s="7" t="inlineStr">
        <is>
          <t>Year 4</t>
        </is>
      </c>
      <c r="H12" s="7" t="inlineStr">
        <is>
          <t>Year 5</t>
        </is>
      </c>
    </row>
    <row r="13">
      <c r="B13" s="8" t="inlineStr">
        <is>
          <t>Machine Outlay</t>
        </is>
      </c>
      <c r="C13" s="9">
        <f>-C6</f>
        <v/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>
      <c r="B14" s="8" t="inlineStr">
        <is>
          <t>Manufacturing Cost</t>
        </is>
      </c>
      <c r="C14" s="9" t="n">
        <v>0</v>
      </c>
      <c r="D14" s="9" t="n">
        <v>-1400000</v>
      </c>
      <c r="E14" s="9" t="n">
        <v>-1600000</v>
      </c>
      <c r="F14" s="9" t="n">
        <v>-1800000</v>
      </c>
      <c r="G14" s="9" t="n">
        <v>-2000000</v>
      </c>
      <c r="H14" s="9" t="n">
        <v>-2400000</v>
      </c>
    </row>
    <row r="15">
      <c r="B15" s="8" t="inlineStr">
        <is>
          <t>Tax Shield on Manufacturing Cost</t>
        </is>
      </c>
      <c r="C15" s="9" t="n">
        <v>0</v>
      </c>
      <c r="D15" s="9">
        <f>-D14*$C$5</f>
        <v/>
      </c>
      <c r="E15" s="9">
        <f>-E14*$C$5</f>
        <v/>
      </c>
      <c r="F15" s="9">
        <f>-F14*$C$5</f>
        <v/>
      </c>
      <c r="G15" s="9">
        <f>-G14*$C$5</f>
        <v/>
      </c>
      <c r="H15" s="9">
        <f>-H14*$C$5</f>
        <v/>
      </c>
    </row>
    <row r="16">
      <c r="B16" s="8" t="inlineStr">
        <is>
          <t>Depreciation Base</t>
        </is>
      </c>
      <c r="C16" s="9" t="n">
        <v>0</v>
      </c>
      <c r="D16" s="9">
        <f>$C$6</f>
        <v/>
      </c>
      <c r="E16" s="9">
        <f>D18</f>
        <v/>
      </c>
      <c r="F16" s="9">
        <f>E18</f>
        <v/>
      </c>
      <c r="G16" s="9">
        <f>F18</f>
        <v/>
      </c>
      <c r="H16" s="9">
        <f>G18</f>
        <v/>
      </c>
    </row>
    <row r="17">
      <c r="B17" s="8" t="inlineStr">
        <is>
          <t>Depreciation Allowance</t>
        </is>
      </c>
      <c r="C17" s="9" t="n">
        <v>0</v>
      </c>
      <c r="D17" s="9">
        <f>D16*$C$8</f>
        <v/>
      </c>
      <c r="E17" s="9">
        <f>E16*$C$8</f>
        <v/>
      </c>
      <c r="F17" s="9">
        <f>F16*$C$8</f>
        <v/>
      </c>
      <c r="G17" s="9">
        <f>G16*$C$8</f>
        <v/>
      </c>
      <c r="H17" s="9">
        <f>H16*$C$8</f>
        <v/>
      </c>
    </row>
    <row r="18">
      <c r="B18" s="8" t="inlineStr">
        <is>
          <t>Ending Net Book Value</t>
        </is>
      </c>
      <c r="C18" s="9" t="n">
        <v>0</v>
      </c>
      <c r="D18" s="9">
        <f>D16-D17</f>
        <v/>
      </c>
      <c r="E18" s="9">
        <f>E16-E17</f>
        <v/>
      </c>
      <c r="F18" s="9">
        <f>F16-F17</f>
        <v/>
      </c>
      <c r="G18" s="9">
        <f>G16-G17</f>
        <v/>
      </c>
      <c r="H18" s="9">
        <f>H16-H17</f>
        <v/>
      </c>
    </row>
    <row r="19">
      <c r="B19" s="8" t="inlineStr">
        <is>
          <t>Tax Shield on Depreciation</t>
        </is>
      </c>
      <c r="C19" s="9" t="n">
        <v>0</v>
      </c>
      <c r="D19" s="9">
        <f>D17*$C$5</f>
        <v/>
      </c>
      <c r="E19" s="9">
        <f>E17*$C$5</f>
        <v/>
      </c>
      <c r="F19" s="9">
        <f>F17*$C$5</f>
        <v/>
      </c>
      <c r="G19" s="9">
        <f>G17*$C$5</f>
        <v/>
      </c>
      <c r="H19" s="9">
        <f>H17*$C$5</f>
        <v/>
      </c>
    </row>
    <row r="20">
      <c r="B20" s="8" t="inlineStr">
        <is>
          <t>Machine Salvage Value</t>
        </is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>
        <f>$C$7</f>
        <v/>
      </c>
    </row>
    <row r="21">
      <c r="B21" s="8" t="inlineStr">
        <is>
          <t>Terminal Loss Tax Shield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>
        <f>MAX(0, H18-H20)*$C$5</f>
        <v/>
      </c>
    </row>
    <row r="22">
      <c r="B22" s="10" t="inlineStr">
        <is>
          <t>Net Cash Flow (Make)</t>
        </is>
      </c>
      <c r="C22" s="11">
        <f>SUM(C13:C13)</f>
        <v/>
      </c>
      <c r="D22" s="11">
        <f>SUM(D14:D15)+D19+D20+D21</f>
        <v/>
      </c>
      <c r="E22" s="11">
        <f>SUM(E14:E15)+E19+E20+E21</f>
        <v/>
      </c>
      <c r="F22" s="11">
        <f>SUM(F14:F15)+F19+F20+F21</f>
        <v/>
      </c>
      <c r="G22" s="11">
        <f>SUM(G14:G15)+G19+G20+G21</f>
        <v/>
      </c>
      <c r="H22" s="11">
        <f>SUM(H14:H15)+H19+H20+H21</f>
        <v/>
      </c>
    </row>
    <row r="23"/>
    <row r="24">
      <c r="B24" s="2" t="inlineStr">
        <is>
          <t>Option B: Buy the Component from Market</t>
        </is>
      </c>
    </row>
    <row r="25">
      <c r="B25" s="6" t="inlineStr">
        <is>
          <t>Line Item</t>
        </is>
      </c>
      <c r="C25" s="7" t="inlineStr">
        <is>
          <t>Year 0</t>
        </is>
      </c>
      <c r="D25" s="7" t="inlineStr">
        <is>
          <t>Year 1</t>
        </is>
      </c>
      <c r="E25" s="7" t="inlineStr">
        <is>
          <t>Year 2</t>
        </is>
      </c>
      <c r="F25" s="7" t="inlineStr">
        <is>
          <t>Year 3</t>
        </is>
      </c>
      <c r="G25" s="7" t="inlineStr">
        <is>
          <t>Year 4</t>
        </is>
      </c>
      <c r="H25" s="7" t="inlineStr">
        <is>
          <t>Year 5</t>
        </is>
      </c>
    </row>
    <row r="26">
      <c r="B26" s="8" t="inlineStr">
        <is>
          <t>Purchase Cost (Buy)</t>
        </is>
      </c>
      <c r="C26" s="9" t="n">
        <v>0</v>
      </c>
      <c r="D26" s="9" t="n">
        <v>-2000000</v>
      </c>
      <c r="E26" s="9" t="n">
        <v>-2200000</v>
      </c>
      <c r="F26" s="9" t="n">
        <v>-2400000</v>
      </c>
      <c r="G26" s="9" t="n">
        <v>-2600000</v>
      </c>
      <c r="H26" s="9" t="n">
        <v>-3000000</v>
      </c>
    </row>
    <row r="27">
      <c r="B27" s="8" t="inlineStr">
        <is>
          <t>Tax Shield on Purchase Cost</t>
        </is>
      </c>
      <c r="C27" s="9" t="n">
        <v>0</v>
      </c>
      <c r="D27" s="9">
        <f>-D26*$C$5</f>
        <v/>
      </c>
      <c r="E27" s="9">
        <f>-E26*$C$5</f>
        <v/>
      </c>
      <c r="F27" s="9">
        <f>-F26*$C$5</f>
        <v/>
      </c>
      <c r="G27" s="9">
        <f>-G26*$C$5</f>
        <v/>
      </c>
      <c r="H27" s="9">
        <f>-H26*$C$5</f>
        <v/>
      </c>
    </row>
    <row r="28">
      <c r="B28" s="10" t="inlineStr">
        <is>
          <t>Net Cash Flow (Buy)</t>
        </is>
      </c>
      <c r="C28" s="11">
        <f>SUM(C26:C27)</f>
        <v/>
      </c>
      <c r="D28" s="11">
        <f>SUM(D26:D27)</f>
        <v/>
      </c>
      <c r="E28" s="11">
        <f>SUM(E26:E27)</f>
        <v/>
      </c>
      <c r="F28" s="11">
        <f>SUM(F26:F27)</f>
        <v/>
      </c>
      <c r="G28" s="11">
        <f>SUM(G26:G27)</f>
        <v/>
      </c>
      <c r="H28" s="11">
        <f>SUM(H26:H27)</f>
        <v/>
      </c>
    </row>
    <row r="29"/>
    <row r="30">
      <c r="B30" s="2" t="inlineStr">
        <is>
          <t>Present Value Summary (Discounted Cash Outflows)</t>
        </is>
      </c>
    </row>
    <row r="31">
      <c r="B31" s="12" t="inlineStr">
        <is>
          <t>Present Value of Outflows (Make)</t>
        </is>
      </c>
      <c r="C31" s="13">
        <f>NPV($C$9, D22:H22)+C22</f>
        <v/>
      </c>
    </row>
    <row r="32">
      <c r="B32" s="12" t="inlineStr">
        <is>
          <t>Present Value of Outflows (Buy)</t>
        </is>
      </c>
      <c r="C32" s="13">
        <f>NPV($C$9, D28:H28)+C28</f>
        <v/>
      </c>
    </row>
    <row r="33">
      <c r="B33" s="14" t="inlineStr">
        <is>
          <t>Net Savings from Making</t>
        </is>
      </c>
      <c r="C33" s="15">
        <f>C31-C32</f>
        <v/>
      </c>
    </row>
    <row r="34">
      <c r="B34" s="16" t="inlineStr">
        <is>
          <t>Recommended Action</t>
        </is>
      </c>
      <c r="C34" s="17">
        <f>IF(C31&gt;C32, "MAKE THE COMPONENT", "BUY THE COMPONENT")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2026-07-06T13:01:07Z</dcterms:created>
  <dcterms:modified xmlns:dcterms="http://purl.org/dc/terms/" xmlns:xsi="http://www.w3.org/2001/XMLSchema-instance" xsi:type="dcterms:W3CDTF">2026-07-06T13:01:07Z</dcterms:modified>
</cp:coreProperties>
</file>